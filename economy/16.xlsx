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<sst xmlns="http://schemas.openxmlformats.org/spreadsheetml/2006/main" count="14" uniqueCount="14">
  <si>
    <t xml:space="preserve">норма диск</t>
  </si>
  <si>
    <t>Инвестиции</t>
  </si>
  <si>
    <t>NCF</t>
  </si>
  <si>
    <t xml:space="preserve">к - коэф дисконт</t>
  </si>
  <si>
    <t>DNCF</t>
  </si>
  <si>
    <t xml:space="preserve">с нарастающим итогом</t>
  </si>
  <si>
    <t>инвест</t>
  </si>
  <si>
    <t xml:space="preserve">Чистая текущая стоимость</t>
  </si>
  <si>
    <t>PI</t>
  </si>
  <si>
    <t>t1</t>
  </si>
  <si>
    <t>t2</t>
  </si>
  <si>
    <t>NPV1</t>
  </si>
  <si>
    <t>NPV2</t>
  </si>
  <si>
    <t>DPBP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</si>
</sst>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2" xfId="0" applyNumberFormat="1"/>
    <xf fontId="1" fillId="0" borderId="0" numFmtId="2" xfId="0" applyNumberFormat="1" applyFont="1" applyAlignment="1">
      <alignment horizontal="center"/>
    </xf>
    <xf fontId="0" fillId="0" borderId="0" numFmtId="2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2" ht="14.25">
      <c r="A2" t="s">
        <v>0</v>
      </c>
      <c r="C2">
        <v>0.25</v>
      </c>
    </row>
    <row r="3" ht="14.25">
      <c r="A3" t="s">
        <v>1</v>
      </c>
      <c r="C3" s="1">
        <v>4500</v>
      </c>
    </row>
    <row r="4" ht="14.25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>
      <c r="B5">
        <v>0</v>
      </c>
      <c r="C5">
        <v>1</v>
      </c>
      <c r="D5">
        <v>2</v>
      </c>
      <c r="E5">
        <v>3</v>
      </c>
      <c r="F5">
        <v>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4.25">
      <c r="A6" s="1" t="s">
        <v>2</v>
      </c>
      <c r="B6" s="1">
        <v>0</v>
      </c>
      <c r="C6" s="1">
        <v>700</v>
      </c>
      <c r="D6" s="2">
        <v>2000</v>
      </c>
      <c r="E6" s="2">
        <v>3500</v>
      </c>
      <c r="F6" s="2">
        <v>4000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4.25">
      <c r="A7" s="3" t="s">
        <v>3</v>
      </c>
      <c r="B7" s="1">
        <f>1/(1+$C2)^B5</f>
        <v>1</v>
      </c>
      <c r="C7" s="1">
        <f>1/(1+$C2)^C5</f>
        <v>0.80000000000000004</v>
      </c>
      <c r="D7" s="1">
        <f>1/(1+$C2)^D5</f>
        <v>0.64000000000000001</v>
      </c>
      <c r="E7" s="1">
        <f>1/(1+$C2)^E5</f>
        <v>0.51200000000000001</v>
      </c>
      <c r="F7" s="1">
        <f>1/(1+$C2)^F5</f>
        <v>0.40960000000000002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>
      <c r="A8" s="3" t="s">
        <v>4</v>
      </c>
      <c r="B8" s="1">
        <f>B6*B7</f>
        <v>0</v>
      </c>
      <c r="C8" s="1">
        <f>C6*C7</f>
        <v>560</v>
      </c>
      <c r="D8" s="1">
        <f>D6*D7</f>
        <v>1280</v>
      </c>
      <c r="E8" s="1">
        <f>E6*E7</f>
        <v>1792</v>
      </c>
      <c r="F8" s="1">
        <f>F6*F7</f>
        <v>1638.4000000000001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14.25">
      <c r="A9" s="3" t="s">
        <v>5</v>
      </c>
      <c r="B9" s="1">
        <f>B8</f>
        <v>0</v>
      </c>
      <c r="C9" s="1">
        <f>B9+C8</f>
        <v>560</v>
      </c>
      <c r="D9" s="1">
        <f>C9+D8</f>
        <v>1840</v>
      </c>
      <c r="E9" s="1">
        <f>D9+E8</f>
        <v>3632</v>
      </c>
      <c r="F9" s="1">
        <f>E9+F8</f>
        <v>5270.3999999999996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14.25">
      <c r="A10" s="3" t="s">
        <v>6</v>
      </c>
      <c r="B10" s="1">
        <f>C3</f>
        <v>4500</v>
      </c>
      <c r="C10" s="1">
        <v>0</v>
      </c>
      <c r="D10" s="1">
        <v>0</v>
      </c>
      <c r="E10" s="1">
        <v>0</v>
      </c>
      <c r="F10" s="1">
        <v>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>
      <c r="A11" s="1"/>
      <c r="B11" s="1">
        <f>B8-B10</f>
        <v>-4500</v>
      </c>
      <c r="C11" s="1">
        <f>B11+C8</f>
        <v>-3940</v>
      </c>
      <c r="D11" s="1">
        <f>C11+D8</f>
        <v>-2660</v>
      </c>
      <c r="E11" s="1">
        <f>D11+E8</f>
        <v>-868</v>
      </c>
      <c r="F11" s="1">
        <f>E11+F8</f>
        <v>770.40000000000009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4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14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>
      <c r="A14" s="3" t="s">
        <v>7</v>
      </c>
      <c r="B14" s="1"/>
      <c r="C14" s="1"/>
      <c r="D14" s="1">
        <f>F11</f>
        <v>770.40000000000009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14.25">
      <c r="A15" s="3" t="s">
        <v>8</v>
      </c>
      <c r="B15" s="1">
        <f>F9/C3</f>
        <v>1.1712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4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>
      <c r="A17" s="3" t="s">
        <v>9</v>
      </c>
      <c r="B17" s="1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4.25">
      <c r="A18" s="3" t="s">
        <v>10</v>
      </c>
      <c r="B18" s="1">
        <v>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4.25">
      <c r="A19" s="3" t="s">
        <v>11</v>
      </c>
      <c r="B19" s="1">
        <f>ABS(E11)</f>
        <v>868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14.25">
      <c r="A20" s="3" t="s">
        <v>12</v>
      </c>
      <c r="B20" s="1">
        <f>F11</f>
        <v>770.40000000000009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4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14.25">
      <c r="A22" s="3" t="s">
        <v>13</v>
      </c>
      <c r="B22" s="1">
        <f>B17+(B19*(B18-B17))/(B20+B19)</f>
        <v>3.52978515625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14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14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14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14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14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14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14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14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14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14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2026-04-28T09:35:16Z</dcterms:modified>
</cp:coreProperties>
</file>