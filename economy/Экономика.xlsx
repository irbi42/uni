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Лист1" sheetId="1" state="visible" r:id="rId1"/>
    <sheet name="Лист2" sheetId="2" state="visible" r:id="rId2"/>
    <sheet name="Лист3" sheetId="3" state="visible" r:id="rId3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<sst xmlns="http://schemas.openxmlformats.org/spreadsheetml/2006/main" count="44" uniqueCount="44">
  <si>
    <t xml:space="preserve">среднегодовая стоимость опф</t>
  </si>
  <si>
    <t>абс</t>
  </si>
  <si>
    <t>отн</t>
  </si>
  <si>
    <t xml:space="preserve">1 Выручка от реализации услуг связи (доходы от основной деятельности), тыс. руб.</t>
  </si>
  <si>
    <t>Дод</t>
  </si>
  <si>
    <t>Ф</t>
  </si>
  <si>
    <t xml:space="preserve">2 Среднесписочная численность работников, ед.</t>
  </si>
  <si>
    <t>Ос</t>
  </si>
  <si>
    <t xml:space="preserve">3 Стоимость основных производственных фондов (ОПФ) на начало года, тыс. руб.</t>
  </si>
  <si>
    <t>Фнг</t>
  </si>
  <si>
    <t>Ки</t>
  </si>
  <si>
    <t xml:space="preserve">4 Поступление ОПФ в течение года,  тыс. руб.</t>
  </si>
  <si>
    <t>Фвв</t>
  </si>
  <si>
    <t>Кф</t>
  </si>
  <si>
    <t>кобн</t>
  </si>
  <si>
    <t>Вос</t>
  </si>
  <si>
    <t>Дпрт</t>
  </si>
  <si>
    <t>Тусл</t>
  </si>
  <si>
    <t xml:space="preserve">с 01.04</t>
  </si>
  <si>
    <t xml:space="preserve">во II кв.</t>
  </si>
  <si>
    <t>V</t>
  </si>
  <si>
    <t xml:space="preserve">5 Выбытие ОПФ в течение года, тыс. руб.</t>
  </si>
  <si>
    <t>Фвыб</t>
  </si>
  <si>
    <t>Коб</t>
  </si>
  <si>
    <t>Квыб</t>
  </si>
  <si>
    <t xml:space="preserve">с 01.10</t>
  </si>
  <si>
    <t xml:space="preserve">в III кв.</t>
  </si>
  <si>
    <t>Кдл</t>
  </si>
  <si>
    <t xml:space="preserve">6 Среднегодовая стоимость оборотных средств (ОС), % от суммы ОПФ</t>
  </si>
  <si>
    <t>dОс</t>
  </si>
  <si>
    <t>Птр</t>
  </si>
  <si>
    <t xml:space="preserve">7 Затраты на производство и оказание услуг связи, тыс. руб.</t>
  </si>
  <si>
    <t>Э</t>
  </si>
  <si>
    <t xml:space="preserve">в том числе</t>
  </si>
  <si>
    <t>С</t>
  </si>
  <si>
    <t xml:space="preserve">затраты на оплату труда, тыс. руб.</t>
  </si>
  <si>
    <t>Эот</t>
  </si>
  <si>
    <t>П</t>
  </si>
  <si>
    <t xml:space="preserve">амортизационные отчисления, тыс. руб.</t>
  </si>
  <si>
    <t>Эао</t>
  </si>
  <si>
    <t>Пч</t>
  </si>
  <si>
    <t>Рзатр</t>
  </si>
  <si>
    <t>Рпрод</t>
  </si>
  <si>
    <t>Ррес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</si>
</sst>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</font>
    <font>
      <sz val="10.000000"/>
      <name val="Arial"/>
    </font>
    <font>
      <sz val="11.000000"/>
      <color rgb="FF9C0006"/>
      <name val="Calibri"/>
    </font>
    <font>
      <sz val="12.000000"/>
      <color indexed="6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31"/>
      </patternFill>
    </fill>
    <fill>
      <patternFill patternType="solid">
        <fgColor indexed="5"/>
        <bgColor indexed="5"/>
      </patternFill>
    </fill>
  </fills>
  <borders count="17">
    <border>
      <left style="none"/>
      <right style="none"/>
      <top style="none"/>
      <bottom style="none"/>
      <diagonal style="none"/>
    </border>
    <border>
      <left style="medium">
        <color theme="1"/>
      </left>
      <right style="none"/>
      <top style="medium">
        <color theme="1"/>
      </top>
      <bottom style="none"/>
      <diagonal style="none"/>
    </border>
    <border>
      <left style="none"/>
      <right style="medium">
        <color theme="1"/>
      </right>
      <top style="medium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none"/>
      <top style="none"/>
      <bottom style="none"/>
      <diagonal style="none"/>
    </border>
    <border>
      <left style="none"/>
      <right style="medium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medium">
        <color theme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none"/>
      <top style="none"/>
      <bottom style="medium">
        <color theme="1"/>
      </bottom>
      <diagonal style="none"/>
    </border>
    <border>
      <left style="none"/>
      <right style="medium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medium">
        <color theme="1"/>
      </left>
      <right style="none"/>
      <top style="none"/>
      <bottom style="thin">
        <color theme="1"/>
      </bottom>
      <diagonal style="none"/>
    </border>
    <border>
      <left style="none"/>
      <right style="medium">
        <color theme="1"/>
      </right>
      <top style="none"/>
      <bottom style="thin">
        <color theme="1"/>
      </bottom>
      <diagonal style="none"/>
    </border>
  </borders>
  <cellStyleXfs count="7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2" borderId="0" numFmtId="0" applyNumberFormat="1" applyFont="1" applyFill="1" applyBorder="0" applyProtection="0"/>
  </cellStyleXfs>
  <cellXfs count="35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0" fillId="0" borderId="0" numFmtId="0" xfId="0" applyAlignment="1" applyProtection="1">
      <alignment horizontal="center"/>
      <protection hidden="0" locked="1"/>
    </xf>
    <xf fontId="0" fillId="0" borderId="1" numFmtId="0" xfId="0" applyBorder="1" applyProtection="1">
      <protection hidden="0" locked="1"/>
    </xf>
    <xf fontId="0" fillId="0" borderId="2" numFmtId="0" xfId="0" applyBorder="1" applyProtection="1">
      <protection hidden="0" locked="1"/>
    </xf>
    <xf fontId="3" fillId="0" borderId="3" numFmtId="0" xfId="0" applyFont="1" applyBorder="1" applyAlignment="1" applyProtection="1">
      <alignment horizontal="justify" vertical="top"/>
      <protection hidden="0" locked="1"/>
    </xf>
    <xf fontId="0" fillId="0" borderId="3" numFmtId="0" xfId="0" applyBorder="1" applyProtection="1">
      <protection hidden="0" locked="1"/>
    </xf>
    <xf fontId="0" fillId="3" borderId="0" numFmtId="2" xfId="0" applyNumberFormat="1" applyFill="1" applyProtection="1">
      <protection hidden="0" locked="1"/>
    </xf>
    <xf fontId="0" fillId="3" borderId="4" numFmtId="2" xfId="0" applyNumberFormat="1" applyFill="1" applyBorder="1" applyProtection="1">
      <protection hidden="0" locked="1"/>
    </xf>
    <xf fontId="0" fillId="3" borderId="5" numFmtId="2" xfId="0" applyNumberFormat="1" applyFill="1" applyBorder="1" applyProtection="1">
      <protection hidden="0" locked="1"/>
    </xf>
    <xf fontId="0" fillId="3" borderId="3" numFmtId="0" xfId="0" applyFill="1" applyBorder="1" applyProtection="1">
      <protection hidden="0" locked="1"/>
    </xf>
    <xf fontId="0" fillId="0" borderId="0" numFmtId="4" xfId="0" applyNumberFormat="1" applyProtection="1">
      <protection hidden="0" locked="1"/>
    </xf>
    <xf fontId="0" fillId="0" borderId="3" numFmtId="0" xfId="0" applyBorder="1" applyAlignment="1" applyProtection="1">
      <alignment vertical="top"/>
      <protection hidden="0" locked="1"/>
    </xf>
    <xf fontId="0" fillId="0" borderId="0" numFmtId="4" xfId="0" applyNumberFormat="1" applyProtection="0">
      <protection hidden="0" locked="1"/>
    </xf>
    <xf fontId="0" fillId="0" borderId="0" numFmtId="0" xfId="0" applyProtection="0">
      <protection hidden="0" locked="1"/>
    </xf>
    <xf fontId="0" fillId="0" borderId="6" numFmtId="0" xfId="0" applyBorder="1" applyProtection="1">
      <protection hidden="0" locked="1"/>
    </xf>
    <xf fontId="0" fillId="0" borderId="7" numFmtId="0" xfId="0" applyBorder="1" applyProtection="1">
      <protection hidden="0" locked="1"/>
    </xf>
    <xf fontId="0" fillId="3" borderId="7" numFmtId="2" xfId="0" applyNumberFormat="1" applyFill="1" applyBorder="1" applyProtection="1">
      <protection hidden="0" locked="1"/>
    </xf>
    <xf fontId="0" fillId="3" borderId="8" numFmtId="2" xfId="0" applyNumberFormat="1" applyFill="1" applyBorder="1" applyProtection="1">
      <protection hidden="0" locked="1"/>
    </xf>
    <xf fontId="0" fillId="3" borderId="9" numFmtId="2" xfId="0" applyNumberFormat="1" applyFill="1" applyBorder="1" applyProtection="1">
      <protection hidden="0" locked="1"/>
    </xf>
    <xf fontId="2" fillId="2" borderId="7" numFmtId="2" xfId="6" applyNumberFormat="1" applyFont="1" applyFill="1" applyBorder="1" applyProtection="1">
      <protection hidden="0" locked="1"/>
    </xf>
    <xf fontId="0" fillId="0" borderId="10" numFmtId="0" xfId="0" applyBorder="1" applyProtection="1">
      <protection hidden="0" locked="1"/>
    </xf>
    <xf fontId="0" fillId="0" borderId="11" numFmtId="0" xfId="0" applyBorder="1" applyProtection="1">
      <protection hidden="0" locked="1"/>
    </xf>
    <xf fontId="0" fillId="0" borderId="11" numFmtId="2" xfId="0" applyNumberFormat="1" applyBorder="1" applyProtection="1">
      <protection hidden="0" locked="1"/>
    </xf>
    <xf fontId="0" fillId="3" borderId="12" numFmtId="2" xfId="0" applyNumberFormat="1" applyFill="1" applyBorder="1" applyProtection="1">
      <protection hidden="0" locked="1"/>
    </xf>
    <xf fontId="0" fillId="3" borderId="13" numFmtId="2" xfId="0" applyNumberFormat="1" applyFill="1" applyBorder="1" applyProtection="1">
      <protection hidden="0" locked="1"/>
    </xf>
    <xf fontId="2" fillId="3" borderId="0" numFmtId="2" xfId="6" applyNumberFormat="1" applyFont="1" applyFill="1" applyProtection="1">
      <protection hidden="0" locked="1"/>
    </xf>
    <xf fontId="0" fillId="0" borderId="0" numFmtId="0" xfId="0" applyAlignment="1" applyProtection="1">
      <alignment vertical="top"/>
      <protection hidden="0" locked="1"/>
    </xf>
    <xf fontId="0" fillId="0" borderId="5" numFmtId="2" xfId="0" applyNumberFormat="1" applyBorder="1" applyProtection="1">
      <protection hidden="0" locked="1"/>
    </xf>
    <xf fontId="0" fillId="0" borderId="4" numFmtId="0" xfId="0" applyBorder="1" applyProtection="1">
      <protection hidden="0" locked="1"/>
    </xf>
    <xf fontId="0" fillId="0" borderId="5" numFmtId="0" xfId="0" applyBorder="1" applyProtection="1">
      <protection hidden="0" locked="1"/>
    </xf>
    <xf fontId="0" fillId="0" borderId="14" numFmtId="0" xfId="0" applyBorder="1" applyProtection="0">
      <protection hidden="0" locked="1"/>
    </xf>
    <xf fontId="0" fillId="0" borderId="15" numFmtId="0" xfId="0" applyBorder="1" applyProtection="1">
      <protection hidden="0" locked="1"/>
    </xf>
    <xf fontId="0" fillId="0" borderId="16" numFmtId="0" xfId="0" applyBorder="1" applyProtection="1">
      <protection hidden="0" locked="1"/>
    </xf>
    <xf fontId="0" fillId="0" borderId="0" numFmtId="0" xfId="0" applyProtection="1">
      <protection hidden="0" locked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Bad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0</xdr:colOff>
      <xdr:row>2</xdr:row>
      <xdr:rowOff>0</xdr:rowOff>
    </xdr:from>
    <xdr:to>
      <xdr:col>1</xdr:col>
      <xdr:colOff>84960</xdr:colOff>
      <xdr:row>3</xdr:row>
      <xdr:rowOff>8640</xdr:rowOff>
    </xdr:to>
    <xdr:pic>
      <xdr:nvPicPr>
        <xdr:cNvPr id="0" name="Рисунок 2" descr=""/>
        <xdr:cNvPicPr/>
      </xdr:nvPicPr>
      <xdr:blipFill rotWithShape="1">
        <a:blip r:embed="rId1"/>
        <a:stretch/>
      </xdr:blipFill>
      <xdr:spPr bwMode="auto">
        <a:xfrm>
          <a:off x="2998440" y="561960"/>
          <a:ext cx="84960" cy="408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B10" zoomScale="120" workbookViewId="0">
      <selection activeCell="O6" activeCellId="0" sqref="O6"/>
    </sheetView>
  </sheetViews>
  <sheetFormatPr defaultColWidth="8.6796875" defaultRowHeight="15"/>
  <cols>
    <col customWidth="1" min="1" max="1" style="1" width="42.539999999999999"/>
    <col customWidth="1" min="3" max="3" style="1" width="12.859999999999999"/>
    <col customWidth="1" min="4" max="4" style="1" width="13.57"/>
    <col customWidth="1" min="7" max="7" style="1" width="15.710000000000001"/>
    <col customWidth="1" min="8" max="8" style="1" width="20.710000000000001"/>
  </cols>
  <sheetData>
    <row r="1" ht="15">
      <c r="C1" s="1">
        <v>0</v>
      </c>
      <c r="D1" s="1">
        <v>1</v>
      </c>
      <c r="G1" s="2" t="s">
        <v>0</v>
      </c>
      <c r="H1" s="2"/>
      <c r="I1" s="3" t="s">
        <v>1</v>
      </c>
      <c r="J1" s="4" t="s">
        <v>2</v>
      </c>
    </row>
    <row r="2" ht="29.25" customHeight="1">
      <c r="A2" s="5" t="s">
        <v>3</v>
      </c>
      <c r="B2" s="6" t="s">
        <v>4</v>
      </c>
      <c r="C2" s="6">
        <v>204316</v>
      </c>
      <c r="D2" s="6">
        <v>224590</v>
      </c>
      <c r="F2" s="1" t="s">
        <v>5</v>
      </c>
      <c r="G2" s="7">
        <f>C4+(9*C5/12)-(C7*3/12)</f>
        <v>780087.5</v>
      </c>
      <c r="H2" s="7">
        <f>D4+(3*D5/4)-(D7*2/4)</f>
        <v>775887.5</v>
      </c>
      <c r="I2" s="8">
        <f t="shared" ref="I2:I9" si="0">H2-G2</f>
        <v>-4200</v>
      </c>
      <c r="J2" s="9">
        <f t="shared" ref="J2:J9" si="1">(H2/G2)*100</f>
        <v>99.461598859102295</v>
      </c>
      <c r="K2" s="8">
        <f t="shared" ref="K2:K3" si="2">D2-C2</f>
        <v>20274</v>
      </c>
      <c r="L2" s="9">
        <f t="shared" ref="L2:L3" si="3">(D2/C2)*100</f>
        <v>109.92286458231401</v>
      </c>
    </row>
    <row r="3" ht="31.5" customHeight="1">
      <c r="A3" s="5" t="s">
        <v>6</v>
      </c>
      <c r="B3" s="6"/>
      <c r="C3" s="6">
        <v>1035</v>
      </c>
      <c r="D3" s="6">
        <v>1042</v>
      </c>
      <c r="F3" s="1" t="s">
        <v>7</v>
      </c>
      <c r="G3" s="7">
        <f>(G2/100)*C9</f>
        <v>24962.799999999999</v>
      </c>
      <c r="H3" s="7">
        <f>(H2/100)*D9</f>
        <v>25604.287499999999</v>
      </c>
      <c r="I3" s="8">
        <f t="shared" si="0"/>
        <v>641.48749999999598</v>
      </c>
      <c r="J3" s="9">
        <f t="shared" si="1"/>
        <v>102.569773823449</v>
      </c>
      <c r="K3" s="8">
        <f t="shared" si="2"/>
        <v>7</v>
      </c>
      <c r="L3" s="9">
        <f t="shared" si="3"/>
        <v>100.676328502415</v>
      </c>
    </row>
    <row r="4" ht="29.25" customHeight="1">
      <c r="A4" s="5" t="s">
        <v>8</v>
      </c>
      <c r="B4" s="6" t="s">
        <v>9</v>
      </c>
      <c r="C4" s="6">
        <v>769400</v>
      </c>
      <c r="D4" s="10">
        <f>C4+C5-C7</f>
        <v>763550</v>
      </c>
      <c r="E4" s="10">
        <f>D4+D5-D7</f>
        <v>773000</v>
      </c>
      <c r="F4" s="1" t="s">
        <v>10</v>
      </c>
      <c r="G4" s="7">
        <f>C2/G2</f>
        <v>0.26191420834201301</v>
      </c>
      <c r="H4" s="7">
        <f>D2/H2</f>
        <v>0.28946206763222798</v>
      </c>
      <c r="I4" s="8">
        <f t="shared" si="0"/>
        <v>0.0275478592902147</v>
      </c>
      <c r="J4" s="9">
        <f t="shared" si="1"/>
        <v>110.51789418550401</v>
      </c>
      <c r="K4" s="11"/>
    </row>
    <row r="5" ht="28.5" customHeight="1">
      <c r="A5" s="5" t="s">
        <v>11</v>
      </c>
      <c r="B5" s="6" t="s">
        <v>12</v>
      </c>
      <c r="C5" s="6">
        <v>24300</v>
      </c>
      <c r="D5" s="6">
        <v>30450</v>
      </c>
      <c r="F5" s="1" t="s">
        <v>13</v>
      </c>
      <c r="G5" s="7">
        <f>1/G4</f>
        <v>3.8180441081462102</v>
      </c>
      <c r="H5" s="7">
        <f>1/H4</f>
        <v>3.4546840910102898</v>
      </c>
      <c r="I5" s="8">
        <f t="shared" si="0"/>
        <v>-0.36336001713591998</v>
      </c>
      <c r="J5" s="9">
        <f t="shared" si="1"/>
        <v>90.483084876870507</v>
      </c>
      <c r="K5" s="11" t="s">
        <v>14</v>
      </c>
      <c r="M5" t="s">
        <v>15</v>
      </c>
      <c r="N5" t="s">
        <v>16</v>
      </c>
      <c r="O5" t="s">
        <v>17</v>
      </c>
    </row>
    <row r="6" ht="15">
      <c r="A6" s="12"/>
      <c r="B6" s="6"/>
      <c r="C6" s="6" t="s">
        <v>18</v>
      </c>
      <c r="D6" s="6" t="s">
        <v>19</v>
      </c>
      <c r="F6" s="1" t="s">
        <v>20</v>
      </c>
      <c r="G6" s="7">
        <f>G2/C3</f>
        <v>753.70772946859904</v>
      </c>
      <c r="H6" s="7">
        <f>H2/D3</f>
        <v>744.61372360844496</v>
      </c>
      <c r="I6" s="8">
        <f t="shared" si="0"/>
        <v>-9.0940058601537395</v>
      </c>
      <c r="J6" s="9">
        <f t="shared" si="1"/>
        <v>98.793430728570897</v>
      </c>
      <c r="K6" s="11">
        <f>C5/D4</f>
        <v>0.031825027830528499</v>
      </c>
      <c r="L6" s="11">
        <f>D5/E4</f>
        <v>0.039391979301422998</v>
      </c>
      <c r="M6" s="13">
        <f>D2*(G8-H8)/360</f>
        <v>1835.53733995381</v>
      </c>
      <c r="N6" s="14">
        <f>(H9-G9)*D3</f>
        <v>18892.152657005401</v>
      </c>
      <c r="O6" s="13">
        <f>(D2/G9)-D3</f>
        <v>95.7016484269475</v>
      </c>
    </row>
    <row r="7" ht="15">
      <c r="A7" s="5" t="s">
        <v>21</v>
      </c>
      <c r="B7" s="6" t="s">
        <v>22</v>
      </c>
      <c r="C7" s="6">
        <v>30150</v>
      </c>
      <c r="D7" s="6">
        <v>21000</v>
      </c>
      <c r="F7" s="1" t="s">
        <v>23</v>
      </c>
      <c r="G7" s="7">
        <f>C2/G3</f>
        <v>8.1848190106878995</v>
      </c>
      <c r="H7" s="7">
        <f>D2/H3</f>
        <v>8.7715778070372004</v>
      </c>
      <c r="I7" s="8">
        <f t="shared" si="0"/>
        <v>0.58675879634929695</v>
      </c>
      <c r="J7" s="9">
        <f t="shared" si="1"/>
        <v>107.168867088974</v>
      </c>
      <c r="K7" s="11" t="s">
        <v>24</v>
      </c>
    </row>
    <row r="8" ht="15">
      <c r="A8" s="12"/>
      <c r="B8" s="6"/>
      <c r="C8" s="6" t="s">
        <v>25</v>
      </c>
      <c r="D8" s="6" t="s">
        <v>26</v>
      </c>
      <c r="E8" s="15"/>
      <c r="F8" s="16" t="s">
        <v>27</v>
      </c>
      <c r="G8" s="17">
        <f>360/G7</f>
        <v>43.983868125844303</v>
      </c>
      <c r="H8" s="17">
        <f>360/H7</f>
        <v>41.0416470012022</v>
      </c>
      <c r="I8" s="18">
        <f t="shared" si="0"/>
        <v>-2.94222112464209</v>
      </c>
      <c r="J8" s="19">
        <f t="shared" si="1"/>
        <v>93.3106812792727</v>
      </c>
      <c r="K8" s="11">
        <f>C7/D4</f>
        <v>0.039486608604544601</v>
      </c>
      <c r="L8" s="11">
        <f>D7/E4</f>
        <v>0.027166882276843499</v>
      </c>
    </row>
    <row r="9" ht="33.75" customHeight="1">
      <c r="A9" s="5" t="s">
        <v>28</v>
      </c>
      <c r="B9" s="6" t="s">
        <v>29</v>
      </c>
      <c r="C9" s="6">
        <v>3.2000000000000002</v>
      </c>
      <c r="D9" s="6">
        <v>3.2999999999999998</v>
      </c>
      <c r="F9" s="1" t="s">
        <v>30</v>
      </c>
      <c r="G9" s="7">
        <f>C2/C3</f>
        <v>197.406763285024</v>
      </c>
      <c r="H9" s="7">
        <f>D2/D3</f>
        <v>215.53742802303299</v>
      </c>
      <c r="I9" s="8">
        <f t="shared" si="0"/>
        <v>18.130664738008502</v>
      </c>
      <c r="J9" s="9">
        <f t="shared" si="1"/>
        <v>109.18441923483201</v>
      </c>
      <c r="K9" s="11"/>
    </row>
    <row r="10" ht="32.25" customHeight="1">
      <c r="A10" s="5" t="s">
        <v>31</v>
      </c>
      <c r="B10" s="6" t="s">
        <v>32</v>
      </c>
      <c r="C10" s="6">
        <v>80820</v>
      </c>
      <c r="D10" s="6">
        <v>83820</v>
      </c>
      <c r="E10" s="15"/>
      <c r="F10" s="16"/>
      <c r="G10" s="20">
        <f>C12/(C3*12)</f>
        <v>1.49275362318841</v>
      </c>
      <c r="H10" s="20">
        <f>D12/(D3*12)</f>
        <v>1.64747280870122</v>
      </c>
      <c r="I10" s="18">
        <f t="shared" ref="I10:I16" si="4">H10-G10</f>
        <v>0.15471918551281</v>
      </c>
      <c r="J10" s="19">
        <f t="shared" ref="J10:J13" si="5">(H10/G10)*100</f>
        <v>110.364683301344</v>
      </c>
      <c r="K10" s="11">
        <f>D10-C10</f>
        <v>3000</v>
      </c>
      <c r="L10" s="11">
        <f>(D10/C10)*100</f>
        <v>103.71195248700801</v>
      </c>
    </row>
    <row r="11" ht="15">
      <c r="A11" s="5" t="s">
        <v>33</v>
      </c>
      <c r="B11" s="6"/>
      <c r="C11" s="6"/>
      <c r="D11" s="6"/>
      <c r="E11" s="21"/>
      <c r="F11" s="22" t="s">
        <v>34</v>
      </c>
      <c r="G11" s="23">
        <f>(C10/C2)*100</f>
        <v>39.556373460717701</v>
      </c>
      <c r="H11" s="23">
        <f>(D10/D2)*100</f>
        <v>37.321341110467998</v>
      </c>
      <c r="I11" s="24">
        <f t="shared" si="4"/>
        <v>-2.23503235024975</v>
      </c>
      <c r="J11" s="25">
        <f t="shared" si="5"/>
        <v>94.349754149051904</v>
      </c>
      <c r="K11" s="11"/>
      <c r="L11" s="11"/>
    </row>
    <row r="12" ht="30" customHeight="1">
      <c r="A12" s="5" t="s">
        <v>35</v>
      </c>
      <c r="B12" s="6" t="s">
        <v>36</v>
      </c>
      <c r="C12" s="6">
        <v>18540</v>
      </c>
      <c r="D12" s="6">
        <v>20600</v>
      </c>
      <c r="F12" s="1" t="s">
        <v>37</v>
      </c>
      <c r="G12" s="7">
        <f>C2-C10</f>
        <v>123496</v>
      </c>
      <c r="H12" s="7">
        <f>D2-D10</f>
        <v>140770</v>
      </c>
      <c r="I12" s="8">
        <f t="shared" si="4"/>
        <v>17274</v>
      </c>
      <c r="J12" s="9">
        <f t="shared" si="5"/>
        <v>113.98749757077201</v>
      </c>
      <c r="K12" s="11">
        <f>D12-C12</f>
        <v>2060</v>
      </c>
      <c r="L12" s="11">
        <f>(D12/C12)*100</f>
        <v>111.111111111111</v>
      </c>
    </row>
    <row r="13" ht="15">
      <c r="A13" s="5" t="s">
        <v>38</v>
      </c>
      <c r="B13" s="6" t="s">
        <v>39</v>
      </c>
      <c r="C13" s="6">
        <v>34720</v>
      </c>
      <c r="D13" s="6">
        <v>38495</v>
      </c>
      <c r="F13" s="1" t="s">
        <v>40</v>
      </c>
      <c r="G13" s="26">
        <f>G12*0.8</f>
        <v>98796.800000000003</v>
      </c>
      <c r="H13" s="26">
        <f>H12*0.8</f>
        <v>112616</v>
      </c>
      <c r="I13" s="8">
        <f t="shared" si="4"/>
        <v>13819.200000000001</v>
      </c>
      <c r="J13" s="9">
        <f t="shared" si="5"/>
        <v>113.98749757077201</v>
      </c>
    </row>
    <row r="14" ht="15">
      <c r="A14" s="27"/>
      <c r="F14" s="1" t="s">
        <v>41</v>
      </c>
      <c r="G14" s="26">
        <f>G13*100/C10</f>
        <v>122.243009156149</v>
      </c>
      <c r="H14" s="26">
        <f>H13*100/D10</f>
        <v>134.354569315199</v>
      </c>
      <c r="I14" s="8">
        <f t="shared" si="4"/>
        <v>12.1115601590498</v>
      </c>
      <c r="J14" s="28"/>
    </row>
    <row r="15" ht="15">
      <c r="F15" s="1" t="s">
        <v>42</v>
      </c>
      <c r="G15" s="26">
        <f>(G13*100)/C2</f>
        <v>48.354901231425799</v>
      </c>
      <c r="H15" s="26">
        <f>(H13*100)/D2</f>
        <v>50.142927111625603</v>
      </c>
      <c r="I15" s="8">
        <f t="shared" si="4"/>
        <v>1.7880258801997999</v>
      </c>
      <c r="J15" s="28"/>
    </row>
    <row r="16" ht="15">
      <c r="F16" s="1" t="s">
        <v>43</v>
      </c>
      <c r="G16" s="26">
        <f>G13*100/(G2+G3)</f>
        <v>12.272127592524299</v>
      </c>
      <c r="H16" s="26">
        <f>H13*100/(H2+H3)</f>
        <v>14.0507989921232</v>
      </c>
      <c r="I16" s="8">
        <f t="shared" si="4"/>
        <v>1.7786713995988299</v>
      </c>
      <c r="J16" s="28"/>
    </row>
    <row r="17" ht="15">
      <c r="I17" s="29"/>
      <c r="J17" s="30"/>
    </row>
    <row r="18" s="31" customFormat="1" ht="15">
      <c r="A18" s="31"/>
      <c r="C18" s="31"/>
      <c r="D18" s="31"/>
      <c r="G18" s="31"/>
      <c r="H18" s="31"/>
      <c r="I18" s="32"/>
      <c r="J18" s="33"/>
    </row>
    <row r="19" ht="15">
      <c r="H19" s="34"/>
      <c r="I19" s="34"/>
      <c r="J19" s="34"/>
    </row>
    <row r="20" ht="15">
      <c r="H20" s="34"/>
      <c r="I20" s="34"/>
      <c r="J20" s="34"/>
    </row>
    <row r="21" ht="15">
      <c r="H21" s="34"/>
      <c r="I21" s="34"/>
      <c r="J21" s="34"/>
    </row>
    <row r="22" ht="15">
      <c r="H22" s="34"/>
      <c r="I22" s="34"/>
      <c r="J22" s="34"/>
    </row>
    <row r="23" ht="15">
      <c r="H23" s="34"/>
      <c r="I23" s="34"/>
      <c r="J23" s="34"/>
    </row>
    <row r="24" ht="15">
      <c r="H24" s="34"/>
      <c r="I24" s="34"/>
      <c r="J24" s="34"/>
    </row>
    <row r="25" ht="15">
      <c r="H25" s="34"/>
      <c r="I25" s="34"/>
      <c r="J25" s="34"/>
    </row>
    <row r="26" ht="15">
      <c r="H26" s="34"/>
      <c r="I26" s="34"/>
      <c r="J26" s="34"/>
    </row>
    <row r="27" ht="15">
      <c r="H27" s="34"/>
      <c r="I27" s="34"/>
      <c r="J27" s="34"/>
    </row>
    <row r="28" ht="15">
      <c r="H28" s="34"/>
    </row>
  </sheetData>
  <mergeCells count="1">
    <mergeCell ref="G1:H1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7" zoomScale="120" workbookViewId="0">
      <selection activeCell="D9" activeCellId="0" sqref="D9"/>
    </sheetView>
  </sheetViews>
  <sheetFormatPr defaultColWidth="11.53515625" defaultRowHeight="14.25"/>
  <sheetData>
    <row r="1" ht="13.800000000000001"/>
    <row r="2" ht="37.299999999999997" customHeight="1"/>
    <row r="3" ht="37.899999999999999" customHeight="1"/>
    <row r="4" ht="39.799999999999997" customHeight="1"/>
    <row r="5" ht="36.649999999999999" customHeight="1"/>
    <row r="6" ht="13.800000000000001"/>
    <row r="7" ht="27.949999999999999" customHeight="1"/>
    <row r="8" ht="13.800000000000001"/>
    <row r="9" ht="36.649999999999999" customHeight="1"/>
    <row r="10" ht="30.449999999999999" customHeight="1"/>
    <row r="11" ht="26.850000000000001"/>
    <row r="12" ht="34.200000000000003" customHeight="1"/>
    <row r="13" ht="27.949999999999999" customHeight="1"/>
    <row r="14" ht="13.800000000000001"/>
    <row r="15" ht="13.800000000000001"/>
    <row r="16" ht="13.800000000000001"/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*</dc:creator>
  <dc:description/>
  <dc:language>ru-RU</dc:language>
  <cp:revision>6</cp:revision>
  <dcterms:created xsi:type="dcterms:W3CDTF">2026-04-22T12:59:15Z</dcterms:created>
  <dcterms:modified xsi:type="dcterms:W3CDTF">2026-04-28T12:51:16Z</dcterms:modified>
</cp:coreProperties>
</file>